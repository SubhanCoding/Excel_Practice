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fiz SB\Downloads\Excel Data\"/>
    </mc:Choice>
  </mc:AlternateContent>
  <xr:revisionPtr revIDLastSave="0" documentId="13_ncr:1_{B276A414-0D2A-4B47-8C4F-9032A5A0C05D}" xr6:coauthVersionLast="47" xr6:coauthVersionMax="47" xr10:uidLastSave="{00000000-0000-0000-0000-000000000000}"/>
  <bookViews>
    <workbookView xWindow="-108" yWindow="-108" windowWidth="23256" windowHeight="13896" tabRatio="918" activeTab="3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C18" i="5"/>
  <c r="C17" i="5"/>
  <c r="I5" i="3"/>
  <c r="I4" i="3"/>
  <c r="G8" i="3"/>
  <c r="F3" i="6"/>
  <c r="F4" i="6"/>
  <c r="F5" i="6"/>
  <c r="F6" i="6"/>
  <c r="F7" i="6"/>
  <c r="F8" i="6"/>
  <c r="F9" i="6"/>
  <c r="F10" i="6"/>
  <c r="F11" i="6"/>
  <c r="F12" i="6"/>
  <c r="F13" i="6"/>
  <c r="F2" i="6"/>
  <c r="H3" i="2"/>
  <c r="H4" i="2"/>
  <c r="H5" i="2"/>
  <c r="H6" i="2"/>
  <c r="B17" i="2"/>
  <c r="D16" i="2"/>
  <c r="J3" i="2"/>
</calcChain>
</file>

<file path=xl/sharedStrings.xml><?xml version="1.0" encoding="utf-8"?>
<sst xmlns="http://schemas.openxmlformats.org/spreadsheetml/2006/main" count="238" uniqueCount="118">
  <si>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</si>
  <si>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</si>
  <si>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</si>
  <si>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</si>
  <si>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</si>
  <si>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</si>
  <si>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</si>
  <si>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</si>
  <si>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</si>
  <si>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</si>
  <si>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</si>
  <si>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</si>
  <si>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</si>
  <si>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</si>
  <si>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</si>
  <si>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</si>
  <si>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</si>
  <si>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</si>
  <si>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</si>
  <si>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</si>
  <si>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</si>
  <si>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</si>
  <si>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</si>
  <si>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</si>
  <si>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</si>
  <si>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</si>
  <si>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</si>
  <si>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</si>
  <si>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</si>
  <si>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</si>
  <si>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</si>
  <si>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</si>
  <si>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</si>
  <si>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</si>
  <si>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</si>
  <si>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</si>
  <si>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</si>
  <si>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</si>
  <si>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</si>
  <si>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</si>
  <si>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</si>
  <si>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</si>
  <si>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</si>
  <si>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</si>
  <si>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</si>
  <si>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</si>
  <si>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</si>
  <si>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</si>
  <si>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</si>
  <si>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</si>
  <si>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</si>
  <si>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</si>
  <si>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</si>
  <si>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</si>
  <si>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</si>
  <si>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</si>
  <si>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</si>
  <si>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</si>
  <si>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</si>
  <si>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</si>
  <si>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</si>
  <si>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</si>
  <si>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</si>
  <si>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</si>
  <si>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</si>
  <si>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</si>
  <si>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</si>
  <si>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</si>
  <si>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</si>
  <si>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</si>
  <si>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</si>
  <si>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</si>
  <si>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</si>
  <si>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</si>
  <si>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</si>
  <si>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</si>
  <si>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</si>
  <si>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</si>
  <si>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</si>
  <si>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</si>
  <si>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</si>
  <si>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</si>
  <si>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</si>
  <si>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</si>
  <si>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</si>
  <si>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</si>
  <si>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</si>
  <si>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</si>
  <si>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</si>
  <si>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</si>
  <si>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</si>
  <si>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</si>
  <si>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</si>
  <si>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</si>
  <si>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</si>
  <si>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</si>
  <si>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</si>
  <si>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</si>
  <si>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</si>
  <si>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</si>
  <si>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</si>
  <si>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</si>
  <si>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</si>
  <si>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</si>
  <si>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</si>
  <si>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</si>
  <si>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</si>
  <si>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</si>
  <si>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</si>
  <si>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</si>
  <si>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</si>
  <si>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</si>
  <si>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</si>
  <si>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emp005</t>
  </si>
  <si>
    <t>emp_type</t>
  </si>
  <si>
    <t>Greater than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</si>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</sst>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1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4" fontId="0" fillId="0" borderId="1" xfId="1" applyFont="1" applyBorder="1"/>
  </cellXfs>
  <cellStyles count="2">
    <cellStyle name="Currency" xfId="1" builtinId="4"/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J17"/>
  <sheetViews>
    <sheetView zoomScale="145" zoomScaleNormal="145" workbookViewId="0">
      <selection activeCell="H17" sqref="H17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7" max="7" width="12.77734375" customWidth="1"/>
    <col min="8" max="8" width="14.44140625" customWidth="1"/>
  </cols>
  <sheetData>
    <row r="1" spans="1:10" x14ac:dyDescent="0.3">
      <c r="A1" s="5" t="s">
        <v>30</v>
      </c>
      <c r="B1" s="5" t="s">
        <v>29</v>
      </c>
      <c r="C1" s="5" t="s">
        <v>28</v>
      </c>
      <c r="D1" s="4" t="s">
        <v>27</v>
      </c>
      <c r="E1" s="3" t="s">
        <v>26</v>
      </c>
    </row>
    <row r="2" spans="1:10" x14ac:dyDescent="0.3">
      <c r="A2" s="2" t="s">
        <v>25</v>
      </c>
      <c r="B2" s="2" t="s">
        <v>24</v>
      </c>
      <c r="C2" s="2" t="s">
        <v>10</v>
      </c>
      <c r="D2" s="13">
        <v>41954</v>
      </c>
      <c r="E2" s="1">
        <v>43831</v>
      </c>
      <c r="G2" s="5" t="s">
        <v>30</v>
      </c>
      <c r="H2" t="s">
        <v>113</v>
      </c>
    </row>
    <row r="3" spans="1:10" x14ac:dyDescent="0.3">
      <c r="A3" s="2" t="s">
        <v>23</v>
      </c>
      <c r="B3" s="2" t="s">
        <v>22</v>
      </c>
      <c r="C3" s="2" t="s">
        <v>0</v>
      </c>
      <c r="D3" s="13">
        <v>49855</v>
      </c>
      <c r="E3" s="1">
        <v>43832</v>
      </c>
      <c r="G3" s="5" t="s">
        <v>29</v>
      </c>
      <c r="H3" t="str">
        <f>VLOOKUP($H$2,$A$1:$E$13,ROW()-1,0)</f>
        <v>Employee_5</v>
      </c>
      <c r="J3">
        <f>ROW()</f>
        <v>3</v>
      </c>
    </row>
    <row r="4" spans="1:10" x14ac:dyDescent="0.3">
      <c r="A4" s="2" t="s">
        <v>21</v>
      </c>
      <c r="B4" s="2" t="s">
        <v>15</v>
      </c>
      <c r="C4" s="2" t="s">
        <v>3</v>
      </c>
      <c r="D4" s="13">
        <v>94210</v>
      </c>
      <c r="E4" s="1">
        <v>43833</v>
      </c>
      <c r="G4" s="5" t="s">
        <v>28</v>
      </c>
      <c r="H4" t="str">
        <f>VLOOKUP($H$2,$A$1:$E$13,ROW()-1,0)</f>
        <v>Operations</v>
      </c>
    </row>
    <row r="5" spans="1:10" x14ac:dyDescent="0.3">
      <c r="A5" s="2" t="s">
        <v>20</v>
      </c>
      <c r="B5" s="2" t="s">
        <v>19</v>
      </c>
      <c r="C5" s="2" t="s">
        <v>10</v>
      </c>
      <c r="D5" s="13">
        <v>74689</v>
      </c>
      <c r="E5" s="1">
        <v>43834</v>
      </c>
      <c r="G5" s="4" t="s">
        <v>27</v>
      </c>
      <c r="H5">
        <f t="shared" ref="H5:H6" si="0">VLOOKUP($H$2,$A$1:$E$13,ROW()-1,0)</f>
        <v>90652</v>
      </c>
    </row>
    <row r="6" spans="1:10" x14ac:dyDescent="0.3">
      <c r="A6" s="2" t="s">
        <v>18</v>
      </c>
      <c r="B6" s="2" t="s">
        <v>17</v>
      </c>
      <c r="C6" s="2" t="s">
        <v>0</v>
      </c>
      <c r="D6" s="13">
        <v>90652</v>
      </c>
      <c r="E6" s="1">
        <v>43835</v>
      </c>
      <c r="G6" s="3" t="s">
        <v>26</v>
      </c>
      <c r="H6" s="7">
        <f t="shared" si="0"/>
        <v>43835</v>
      </c>
    </row>
    <row r="7" spans="1:10" x14ac:dyDescent="0.3">
      <c r="A7" s="2" t="s">
        <v>16</v>
      </c>
      <c r="B7" s="2" t="s">
        <v>15</v>
      </c>
      <c r="C7" s="2" t="s">
        <v>0</v>
      </c>
      <c r="D7" s="13">
        <v>74820</v>
      </c>
      <c r="E7" s="1">
        <v>43836</v>
      </c>
    </row>
    <row r="8" spans="1:10" x14ac:dyDescent="0.3">
      <c r="A8" s="2" t="s">
        <v>14</v>
      </c>
      <c r="B8" s="2" t="s">
        <v>13</v>
      </c>
      <c r="C8" s="2" t="s">
        <v>3</v>
      </c>
      <c r="D8" s="13">
        <v>85206</v>
      </c>
      <c r="E8" s="1">
        <v>43837</v>
      </c>
    </row>
    <row r="9" spans="1:10" x14ac:dyDescent="0.3">
      <c r="A9" s="2" t="s">
        <v>12</v>
      </c>
      <c r="B9" s="2" t="s">
        <v>11</v>
      </c>
      <c r="C9" s="2" t="s">
        <v>10</v>
      </c>
      <c r="D9" s="13">
        <v>30924</v>
      </c>
      <c r="E9" s="1">
        <v>43838</v>
      </c>
    </row>
    <row r="10" spans="1:10" x14ac:dyDescent="0.3">
      <c r="A10" s="2" t="s">
        <v>9</v>
      </c>
      <c r="B10" s="2" t="s">
        <v>8</v>
      </c>
      <c r="C10" s="2" t="s">
        <v>0</v>
      </c>
      <c r="D10" s="13">
        <v>57737</v>
      </c>
      <c r="E10" s="1">
        <v>43839</v>
      </c>
    </row>
    <row r="11" spans="1:10" x14ac:dyDescent="0.3">
      <c r="A11" s="2" t="s">
        <v>7</v>
      </c>
      <c r="B11" s="2" t="s">
        <v>6</v>
      </c>
      <c r="C11" s="2" t="s">
        <v>3</v>
      </c>
      <c r="D11" s="13">
        <v>36000</v>
      </c>
      <c r="E11" s="1">
        <v>43840</v>
      </c>
    </row>
    <row r="12" spans="1:10" x14ac:dyDescent="0.3">
      <c r="A12" s="2" t="s">
        <v>5</v>
      </c>
      <c r="B12" s="2" t="s">
        <v>4</v>
      </c>
      <c r="C12" s="2" t="s">
        <v>3</v>
      </c>
      <c r="D12" s="13">
        <v>96371</v>
      </c>
      <c r="E12" s="1">
        <v>43841</v>
      </c>
    </row>
    <row r="13" spans="1:10" x14ac:dyDescent="0.3">
      <c r="A13" s="2" t="s">
        <v>2</v>
      </c>
      <c r="B13" s="2" t="s">
        <v>1</v>
      </c>
      <c r="C13" s="2" t="s">
        <v>0</v>
      </c>
      <c r="D13" s="13">
        <v>85028</v>
      </c>
      <c r="E13" s="1">
        <v>43842</v>
      </c>
    </row>
    <row r="16" spans="1:10" x14ac:dyDescent="0.3">
      <c r="D16">
        <f>ROW()</f>
        <v>16</v>
      </c>
    </row>
    <row r="17" spans="2:2" x14ac:dyDescent="0.3">
      <c r="B17">
        <f>ROW()</f>
        <v>17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zoomScale="145" zoomScaleNormal="145" workbookViewId="0">
      <selection activeCell="G17" sqref="G17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15.77734375" customWidth="1"/>
    <col min="7" max="7" width="27.44140625" customWidth="1"/>
    <col min="8" max="8" width="11.109375" bestFit="1" customWidth="1"/>
    <col min="9" max="9" width="11.109375" customWidth="1"/>
  </cols>
  <sheetData>
    <row r="1" spans="1:9" x14ac:dyDescent="0.3">
      <c r="A1" s="5" t="s">
        <v>30</v>
      </c>
      <c r="B1" s="5" t="s">
        <v>29</v>
      </c>
      <c r="C1" s="5" t="s">
        <v>28</v>
      </c>
      <c r="D1" s="4" t="s">
        <v>27</v>
      </c>
      <c r="E1" s="3" t="s">
        <v>26</v>
      </c>
      <c r="F1" s="9" t="s">
        <v>114</v>
      </c>
      <c r="H1" t="s">
        <v>115</v>
      </c>
    </row>
    <row r="2" spans="1:9" x14ac:dyDescent="0.3">
      <c r="A2" s="2" t="s">
        <v>25</v>
      </c>
      <c r="B2" s="2" t="s">
        <v>24</v>
      </c>
      <c r="C2" s="2" t="s">
        <v>10</v>
      </c>
      <c r="D2" s="13">
        <v>41954</v>
      </c>
      <c r="E2" s="1">
        <v>43831</v>
      </c>
      <c r="F2" t="str">
        <f t="shared" ref="F2:F13" si="0">VLOOKUP(D2,Emp_Type,2,1)</f>
        <v>Grade5</v>
      </c>
      <c r="H2" t="s">
        <v>27</v>
      </c>
      <c r="I2" t="s">
        <v>112</v>
      </c>
    </row>
    <row r="3" spans="1:9" x14ac:dyDescent="0.3">
      <c r="A3" s="2" t="s">
        <v>23</v>
      </c>
      <c r="B3" s="2" t="s">
        <v>22</v>
      </c>
      <c r="C3" s="2" t="s">
        <v>0</v>
      </c>
      <c r="D3" s="13">
        <v>49855</v>
      </c>
      <c r="E3" s="1">
        <v>43832</v>
      </c>
      <c r="F3" t="str">
        <f t="shared" si="0"/>
        <v>Grade4</v>
      </c>
      <c r="H3">
        <v>15000</v>
      </c>
      <c r="I3" t="s">
        <v>106</v>
      </c>
    </row>
    <row r="4" spans="1:9" x14ac:dyDescent="0.3">
      <c r="A4" s="2" t="s">
        <v>21</v>
      </c>
      <c r="B4" s="2" t="s">
        <v>15</v>
      </c>
      <c r="C4" s="2" t="s">
        <v>3</v>
      </c>
      <c r="D4" s="13">
        <v>94210</v>
      </c>
      <c r="E4" s="1">
        <v>43833</v>
      </c>
      <c r="F4" t="str">
        <f t="shared" si="0"/>
        <v>Grade1</v>
      </c>
      <c r="H4">
        <v>30000</v>
      </c>
      <c r="I4" t="s">
        <v>107</v>
      </c>
    </row>
    <row r="5" spans="1:9" x14ac:dyDescent="0.3">
      <c r="A5" s="2" t="s">
        <v>20</v>
      </c>
      <c r="B5" s="2" t="s">
        <v>19</v>
      </c>
      <c r="C5" s="2" t="s">
        <v>10</v>
      </c>
      <c r="D5" s="13">
        <v>74689</v>
      </c>
      <c r="E5" s="1">
        <v>43834</v>
      </c>
      <c r="F5" t="str">
        <f t="shared" si="0"/>
        <v>Grade3</v>
      </c>
      <c r="H5">
        <v>45000</v>
      </c>
      <c r="I5" t="s">
        <v>108</v>
      </c>
    </row>
    <row r="6" spans="1:9" x14ac:dyDescent="0.3">
      <c r="A6" s="2" t="s">
        <v>18</v>
      </c>
      <c r="B6" s="2" t="s">
        <v>17</v>
      </c>
      <c r="C6" s="2" t="s">
        <v>0</v>
      </c>
      <c r="D6" s="13">
        <v>90652</v>
      </c>
      <c r="E6" s="1">
        <v>43835</v>
      </c>
      <c r="F6" t="str">
        <f t="shared" si="0"/>
        <v>Grade1</v>
      </c>
      <c r="H6">
        <v>60000</v>
      </c>
      <c r="I6" t="s">
        <v>109</v>
      </c>
    </row>
    <row r="7" spans="1:9" x14ac:dyDescent="0.3">
      <c r="A7" s="2" t="s">
        <v>16</v>
      </c>
      <c r="B7" s="2" t="s">
        <v>15</v>
      </c>
      <c r="C7" s="2" t="s">
        <v>0</v>
      </c>
      <c r="D7" s="13">
        <v>74820</v>
      </c>
      <c r="E7" s="1">
        <v>43836</v>
      </c>
      <c r="F7" t="str">
        <f t="shared" si="0"/>
        <v>Grade3</v>
      </c>
      <c r="H7">
        <v>75000</v>
      </c>
      <c r="I7" t="s">
        <v>110</v>
      </c>
    </row>
    <row r="8" spans="1:9" x14ac:dyDescent="0.3">
      <c r="A8" s="2" t="s">
        <v>14</v>
      </c>
      <c r="B8" s="2" t="s">
        <v>13</v>
      </c>
      <c r="C8" s="2" t="s">
        <v>3</v>
      </c>
      <c r="D8" s="13">
        <v>85206</v>
      </c>
      <c r="E8" s="1">
        <v>43837</v>
      </c>
      <c r="F8" t="str">
        <f t="shared" si="0"/>
        <v>Grade2</v>
      </c>
      <c r="H8">
        <v>90000</v>
      </c>
      <c r="I8" t="s">
        <v>111</v>
      </c>
    </row>
    <row r="9" spans="1:9" x14ac:dyDescent="0.3">
      <c r="A9" s="2" t="s">
        <v>12</v>
      </c>
      <c r="B9" s="2" t="s">
        <v>11</v>
      </c>
      <c r="C9" s="2" t="s">
        <v>10</v>
      </c>
      <c r="D9" s="13">
        <v>30924</v>
      </c>
      <c r="E9" s="1">
        <v>43838</v>
      </c>
      <c r="F9" t="str">
        <f t="shared" si="0"/>
        <v>Grade5</v>
      </c>
    </row>
    <row r="10" spans="1:9" x14ac:dyDescent="0.3">
      <c r="A10" s="2" t="s">
        <v>9</v>
      </c>
      <c r="B10" s="2" t="s">
        <v>8</v>
      </c>
      <c r="C10" s="2" t="s">
        <v>0</v>
      </c>
      <c r="D10" s="13">
        <v>57737</v>
      </c>
      <c r="E10" s="1">
        <v>43839</v>
      </c>
      <c r="F10" t="str">
        <f t="shared" si="0"/>
        <v>Grade4</v>
      </c>
    </row>
    <row r="11" spans="1:9" x14ac:dyDescent="0.3">
      <c r="A11" s="2" t="s">
        <v>7</v>
      </c>
      <c r="B11" s="2" t="s">
        <v>6</v>
      </c>
      <c r="C11" s="2" t="s">
        <v>3</v>
      </c>
      <c r="D11" s="13">
        <v>36000</v>
      </c>
      <c r="E11" s="1">
        <v>43840</v>
      </c>
      <c r="F11" t="str">
        <f t="shared" si="0"/>
        <v>Grade5</v>
      </c>
    </row>
    <row r="12" spans="1:9" x14ac:dyDescent="0.3">
      <c r="A12" s="2" t="s">
        <v>5</v>
      </c>
      <c r="B12" s="2" t="s">
        <v>4</v>
      </c>
      <c r="C12" s="2" t="s">
        <v>3</v>
      </c>
      <c r="D12" s="13">
        <v>96371</v>
      </c>
      <c r="E12" s="1">
        <v>43841</v>
      </c>
      <c r="F12" t="str">
        <f t="shared" si="0"/>
        <v>Grade1</v>
      </c>
    </row>
    <row r="13" spans="1:9" x14ac:dyDescent="0.3">
      <c r="A13" s="2" t="s">
        <v>2</v>
      </c>
      <c r="B13" s="2" t="s">
        <v>1</v>
      </c>
      <c r="C13" s="2" t="s">
        <v>0</v>
      </c>
      <c r="D13" s="13">
        <v>85028</v>
      </c>
      <c r="E13" s="1">
        <v>43842</v>
      </c>
      <c r="F13" t="str">
        <f t="shared" si="0"/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45" zoomScaleNormal="145" workbookViewId="0">
      <selection activeCell="G11" sqref="G11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8" max="8" width="17.109375" customWidth="1"/>
    <col min="9" max="9" width="16.6640625" customWidth="1"/>
  </cols>
  <sheetData>
    <row r="1" spans="1:9" x14ac:dyDescent="0.3">
      <c r="A1" s="5" t="s">
        <v>30</v>
      </c>
      <c r="B1" s="5" t="s">
        <v>29</v>
      </c>
      <c r="C1" s="5" t="s">
        <v>28</v>
      </c>
      <c r="D1" s="4" t="s">
        <v>27</v>
      </c>
      <c r="E1" s="3" t="s">
        <v>26</v>
      </c>
    </row>
    <row r="2" spans="1:9" x14ac:dyDescent="0.3">
      <c r="A2" s="2" t="s">
        <v>25</v>
      </c>
      <c r="B2" s="2" t="s">
        <v>24</v>
      </c>
      <c r="C2" s="2" t="s">
        <v>10</v>
      </c>
      <c r="D2" s="13">
        <v>41954</v>
      </c>
      <c r="E2" s="1">
        <v>43831</v>
      </c>
    </row>
    <row r="3" spans="1:9" x14ac:dyDescent="0.3">
      <c r="A3" s="2" t="s">
        <v>23</v>
      </c>
      <c r="B3" s="2" t="s">
        <v>22</v>
      </c>
      <c r="C3" s="2" t="s">
        <v>0</v>
      </c>
      <c r="D3" s="13">
        <v>49855</v>
      </c>
      <c r="E3" s="1">
        <v>43832</v>
      </c>
      <c r="H3" s="5" t="s">
        <v>30</v>
      </c>
      <c r="I3" t="s">
        <v>25</v>
      </c>
    </row>
    <row r="4" spans="1:9" x14ac:dyDescent="0.3">
      <c r="A4" s="2" t="s">
        <v>21</v>
      </c>
      <c r="B4" s="2" t="s">
        <v>15</v>
      </c>
      <c r="C4" s="2" t="s">
        <v>3</v>
      </c>
      <c r="D4" s="13">
        <v>94210</v>
      </c>
      <c r="E4" s="1">
        <v>43833</v>
      </c>
      <c r="H4" s="5" t="s">
        <v>29</v>
      </c>
      <c r="I4" t="str">
        <f>VLOOKUP($I$3,$A$1:$E$13,MATCH(H4,$A$1:$E$1,0),0)</f>
        <v>Employee_1</v>
      </c>
    </row>
    <row r="5" spans="1:9" x14ac:dyDescent="0.3">
      <c r="A5" s="2" t="s">
        <v>20</v>
      </c>
      <c r="B5" s="2" t="s">
        <v>19</v>
      </c>
      <c r="C5" s="2" t="s">
        <v>10</v>
      </c>
      <c r="D5" s="13">
        <v>74689</v>
      </c>
      <c r="E5" s="1">
        <v>43834</v>
      </c>
      <c r="H5" s="4" t="s">
        <v>28</v>
      </c>
      <c r="I5" t="str">
        <f>VLOOKUP($I$3,$A$1:$E$13,MATCH(H5,$A$1:$E$1,0),0)</f>
        <v>Finance</v>
      </c>
    </row>
    <row r="6" spans="1:9" x14ac:dyDescent="0.3">
      <c r="A6" s="2" t="s">
        <v>18</v>
      </c>
      <c r="B6" s="2" t="s">
        <v>17</v>
      </c>
      <c r="C6" s="2" t="s">
        <v>0</v>
      </c>
      <c r="D6" s="13">
        <v>90652</v>
      </c>
      <c r="E6" s="1">
        <v>43835</v>
      </c>
    </row>
    <row r="7" spans="1:9" x14ac:dyDescent="0.3">
      <c r="A7" s="2" t="s">
        <v>16</v>
      </c>
      <c r="B7" s="2" t="s">
        <v>15</v>
      </c>
      <c r="C7" s="2" t="s">
        <v>0</v>
      </c>
      <c r="D7" s="13">
        <v>74820</v>
      </c>
      <c r="E7" s="1">
        <v>43836</v>
      </c>
    </row>
    <row r="8" spans="1:9" x14ac:dyDescent="0.3">
      <c r="A8" s="2" t="s">
        <v>14</v>
      </c>
      <c r="B8" s="2" t="s">
        <v>13</v>
      </c>
      <c r="C8" s="2" t="s">
        <v>3</v>
      </c>
      <c r="D8" s="13">
        <v>85206</v>
      </c>
      <c r="E8" s="1">
        <v>43837</v>
      </c>
      <c r="G8">
        <f>MATCH(H4,A1:E1,0)</f>
        <v>2</v>
      </c>
    </row>
    <row r="9" spans="1:9" x14ac:dyDescent="0.3">
      <c r="A9" s="2" t="s">
        <v>12</v>
      </c>
      <c r="B9" s="2" t="s">
        <v>11</v>
      </c>
      <c r="C9" s="2" t="s">
        <v>10</v>
      </c>
      <c r="D9" s="13">
        <v>30924</v>
      </c>
      <c r="E9" s="1">
        <v>43838</v>
      </c>
    </row>
    <row r="10" spans="1:9" x14ac:dyDescent="0.3">
      <c r="A10" s="2" t="s">
        <v>9</v>
      </c>
      <c r="B10" s="2" t="s">
        <v>8</v>
      </c>
      <c r="C10" s="2" t="s">
        <v>0</v>
      </c>
      <c r="D10" s="13">
        <v>57737</v>
      </c>
      <c r="E10" s="1">
        <v>43839</v>
      </c>
    </row>
    <row r="11" spans="1:9" x14ac:dyDescent="0.3">
      <c r="A11" s="2" t="s">
        <v>7</v>
      </c>
      <c r="B11" s="2" t="s">
        <v>6</v>
      </c>
      <c r="C11" s="2" t="s">
        <v>3</v>
      </c>
      <c r="D11" s="13">
        <v>36000</v>
      </c>
      <c r="E11" s="1">
        <v>43840</v>
      </c>
    </row>
    <row r="12" spans="1:9" x14ac:dyDescent="0.3">
      <c r="A12" s="2" t="s">
        <v>5</v>
      </c>
      <c r="B12" s="2" t="s">
        <v>4</v>
      </c>
      <c r="C12" s="2" t="s">
        <v>3</v>
      </c>
      <c r="D12" s="13">
        <v>96371</v>
      </c>
      <c r="E12" s="1">
        <v>43841</v>
      </c>
    </row>
    <row r="13" spans="1:9" x14ac:dyDescent="0.3">
      <c r="A13" s="2" t="s">
        <v>2</v>
      </c>
      <c r="B13" s="2" t="s">
        <v>1</v>
      </c>
      <c r="C13" s="2" t="s">
        <v>0</v>
      </c>
      <c r="D13" s="13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tabSelected="1" zoomScale="115" zoomScaleNormal="115" workbookViewId="0">
      <selection activeCell="D17" sqref="D17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6" t="s">
        <v>105</v>
      </c>
      <c r="B1" s="6" t="s">
        <v>104</v>
      </c>
      <c r="C1" s="6" t="s">
        <v>103</v>
      </c>
      <c r="D1" s="6" t="s">
        <v>102</v>
      </c>
      <c r="E1" s="6" t="s">
        <v>101</v>
      </c>
      <c r="F1" s="6" t="s">
        <v>100</v>
      </c>
      <c r="G1" s="6" t="s">
        <v>99</v>
      </c>
      <c r="H1" s="6" t="s">
        <v>98</v>
      </c>
      <c r="I1" s="6" t="s">
        <v>97</v>
      </c>
      <c r="J1" s="6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 x14ac:dyDescent="0.3">
      <c r="B13" s="10" t="s">
        <v>105</v>
      </c>
      <c r="C13" s="11" t="s">
        <v>99</v>
      </c>
    </row>
    <row r="14" spans="1:10" ht="21.6" customHeight="1" x14ac:dyDescent="0.3">
      <c r="B14" s="11" t="s">
        <v>87</v>
      </c>
      <c r="C14" s="12" t="str">
        <f>INDEX(A1:J9,MATCH(B14,A1:A9,0),MATCH(C13,A1:J1,0))</f>
        <v>Science (Ms. Taylor)</v>
      </c>
    </row>
    <row r="17" spans="2:3" x14ac:dyDescent="0.3">
      <c r="B17" t="s">
        <v>116</v>
      </c>
      <c r="C17" s="8">
        <f>MATCH(B14,A1:A9,0)</f>
        <v>3</v>
      </c>
    </row>
    <row r="18" spans="2:3" x14ac:dyDescent="0.3">
      <c r="B18" t="s">
        <v>117</v>
      </c>
      <c r="C18" s="8">
        <f>MATCH(C13,A1:J1,0)</f>
        <v>7</v>
      </c>
    </row>
  </sheetData>
  <dataValidations count="2">
    <dataValidation type="list" allowBlank="1" showInputMessage="1" showErrorMessage="1" sqref="B14" xr:uid="{AC247D87-B494-4E93-BCAF-1F72631F5389}">
      <formula1>$A$1:$A$9</formula1>
    </dataValidation>
    <dataValidation type="list" allowBlank="1" showInputMessage="1" showErrorMessage="1" sqref="C13" xr:uid="{BA192073-661A-4DFE-A651-747B27A06F2D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Subhan Muhammad</cp:lastModifiedBy>
  <dcterms:created xsi:type="dcterms:W3CDTF">2024-12-17T10:15:43Z</dcterms:created>
  <dcterms:modified xsi:type="dcterms:W3CDTF">2026-08-11T01:40:04Z</dcterms:modified>
</cp:coreProperties>
</file>